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dd8f3f259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Schedule" sheetId="1" r:id="R3e704702f6434153"/>
    <x:sheet xmlns:r="http://schemas.openxmlformats.org/officeDocument/2006/relationships" name="Summary" sheetId="2" r:id="R516e87a187b2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82D21"/>
      <x:name val="Carlito"/>
    </x:font>
    <x:font>
      <x:b/>
      <x:sz val="11"/>
      <x:color rgb="FFFFFFFF"/>
      <x:name val="Carlito"/>
    </x:font>
    <x:font>
      <x:sz val="11"/>
      <x:color rgb="FF17201C"/>
      <x:name val="Carlito"/>
    </x:font>
    <x:font>
      <x:b/>
      <x:sz val="11"/>
      <x:color rgb="FF1D6651"/>
      <x:name val="Carlito"/>
    </x:font>
    <x:font>
      <x:i/>
      <x:sz val="11"/>
      <x:color rgb="FFA82D2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1C"/>
      </x:patternFill>
    </x:fill>
    <x:fill>
      <x:patternFill patternType="solid">
        <x:fgColor rgb="FFF4F0E7"/>
      </x:patternFill>
    </x:fill>
    <x:fill>
      <x:patternFill patternType="solid">
        <x:fgColor rgb="FF1D6651"/>
      </x:patternFill>
    </x:fill>
    <x:fill>
      <x:patternFill patternType="solid">
        <x:fgColor rgb="FFFFFFFF"/>
      </x:patternFill>
    </x:fill>
    <x:fill>
      <x:patternFill patternType="solid">
        <x:fgColor rgb="FFDDE9E3"/>
      </x:patternFill>
    </x:fill>
    <x:fill>
      <x:patternFill patternType="solid">
        <x:fgColor rgb="FFFFF4EE"/>
      </x:patternFill>
    </x:fill>
  </x:fills>
  <x:borders count="9">
    <x:border/>
    <x:border>
      <x:left style="thin">
        <x:color rgb="FFD8DFDA"/>
      </x:left>
      <x:right style="thin">
        <x:color rgb="FFD8DFDA"/>
      </x:right>
      <x:top style="thin">
        <x:color rgb="FFD8DFDA"/>
      </x:top>
      <x:bottom style="thin">
        <x:color rgb="FFD8DFDA"/>
      </x:bottom>
    </x:border>
    <x:border>
      <x:left style="thin">
        <x:color rgb="FFD8DFDA"/>
      </x:left>
      <x:right style="thin">
        <x:color rgb="FFD8DFDA"/>
      </x:right>
      <x:top style="thin">
        <x:color rgb="FFD8DFDA"/>
      </x:top>
      <x:bottom style="double">
        <x:color rgb="FF1D6651"/>
      </x:bottom>
    </x:border>
    <x:border>
      <x:left style="thin">
        <x:color rgb="FFE9BEB7"/>
      </x:left>
      <x:top style="thin">
        <x:color rgb="FFE9BEB7"/>
      </x:top>
    </x:border>
    <x:border>
      <x:top style="thin">
        <x:color rgb="FFE9BEB7"/>
      </x:top>
    </x:border>
    <x:border>
      <x:right style="thin">
        <x:color rgb="FFE9BEB7"/>
      </x:right>
      <x:top style="thin">
        <x:color rgb="FFE9BEB7"/>
      </x:top>
    </x:border>
    <x:border>
      <x:left style="thin">
        <x:color rgb="FFE9BEB7"/>
      </x:left>
      <x:bottom style="thin">
        <x:color rgb="FFE9BEB7"/>
      </x:bottom>
    </x:border>
    <x:border>
      <x:bottom style="thin">
        <x:color rgb="FFE9BEB7"/>
      </x:bottom>
    </x:border>
    <x:border>
      <x:right style="thin">
        <x:color rgb="FFE9BEB7"/>
      </x:right>
      <x:bottom style="thin">
        <x:color rgb="FFE9BEB7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0" fillId="3" borderId="1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201" fontId="0" fillId="3" borderId="1" xfId="0" applyNumberFormat="1" applyFont="1" applyFill="1" applyBorder="1"/>
    <x:xf numFmtId="201" fontId="5" fillId="6" borderId="2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201" fontId="5" fillId="6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44f44f8dc4734" /><Relationship Type="http://schemas.openxmlformats.org/officeDocument/2006/relationships/theme" Target="/xl/theme/theme1.xml" Id="R48437fc8a72a44a1" /><Relationship Type="http://schemas.openxmlformats.org/officeDocument/2006/relationships/sharedStrings" Target="/xl/sharedStrings.xml" Id="R0fe81741fc884974" /><Relationship Type="http://schemas.openxmlformats.org/officeDocument/2006/relationships/worksheet" Target="/xl/worksheets/sheet1.xml" Id="R3e704702f6434153" /><Relationship Type="http://schemas.openxmlformats.org/officeDocument/2006/relationships/worksheet" Target="/xl/worksheets/sheet2.xml" Id="R516e87a187b2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15" hidden="0" customWidth="1"/>
    <x:col min="4" max="4" width="19" hidden="0" customWidth="1"/>
    <x:col min="5" max="5" width="12" hidden="0" customWidth="1"/>
    <x:col min="6" max="6" width="17" hidden="0" customWidth="1"/>
    <x:col min="7" max="7" width="17" hidden="0" customWidth="1"/>
  </x:cols>
  <x:sheetData>
    <x:row r="1" ht="34" customHeight="1">
      <x:c r="A1" s="4" t="str">
        <x:v>GISP · PRODUCT SCHEDULE · DEMO</x:v>
      </x:c>
      <x:c r="B1" s="4"/>
      <x:c r="C1" s="4"/>
      <x:c r="D1" s="4"/>
      <x:c r="E1" s="4"/>
      <x:c r="F1" s="4"/>
      <x:c r="G1" s="4"/>
    </x:row>
    <x:row r="2">
      <x:c r="A2" s="6" t="str">
        <x:v>Riverstone Boutique Hotel Bangkok · PS-PRJ-2026-000001</x:v>
      </x:c>
      <x:c r="B2" s="6"/>
      <x:c r="C2" s="6"/>
      <x:c r="D2" s="6"/>
      <x:c r="E2" s="6"/>
      <x:c r="F2" s="6"/>
      <x:c r="G2" s="6"/>
    </x:row>
    <x:row r="4" ht="15" hidden="0" customHeight="1">
      <x:c r="A4" s="11" t="str">
        <x:v>SKU</x:v>
      </x:c>
      <x:c r="B4" s="11" t="str">
        <x:v>รายการ</x:v>
      </x:c>
      <x:c r="C4" s="11" t="str">
        <x:v>ประเภท</x:v>
      </x:c>
      <x:c r="D4" s="11" t="str">
        <x:v>พื้นที่</x:v>
      </x:c>
      <x:c r="E4" s="11" t="str">
        <x:v>จำนวน</x:v>
      </x:c>
      <x:c r="F4" s="11" t="str">
        <x:v>ราคา/หน่วย</x:v>
      </x:c>
      <x:c r="G4" s="11" t="str">
        <x:v>รวม</x:v>
      </x:c>
    </x:row>
    <x:row r="5" ht="15" hidden="0" customHeight="1">
      <x:c r="A5" s="15" t="str">
        <x:v>CHR-LNG-001</x:v>
      </x:c>
      <x:c r="B5" s="15" t="str">
        <x:v>เก้าอี้เลานจ์</x:v>
      </x:c>
      <x:c r="C5" s="15" t="str">
        <x:v>STANDARD</x:v>
      </x:c>
      <x:c r="D5" s="15" t="str">
        <x:v>Lobby</x:v>
      </x:c>
      <x:c r="E5" s="18" t="n">
        <x:v>8</x:v>
      </x:c>
      <x:c r="F5" s="19" t="n">
        <x:v>18500</x:v>
      </x:c>
      <x:c r="G5" s="19" t="n">
        <x:f>E5*F5</x:f>
        <x:v>148000</x:v>
      </x:c>
    </x:row>
    <x:row r="6" ht="15" hidden="0" customHeight="1">
      <x:c r="A6" s="15" t="str">
        <x:v>TBL-SID-002</x:v>
      </x:c>
      <x:c r="B6" s="15" t="str">
        <x:v>โต๊ะข้าง</x:v>
      </x:c>
      <x:c r="C6" s="15" t="str">
        <x:v>STANDARD</x:v>
      </x:c>
      <x:c r="D6" s="15" t="str">
        <x:v>Lobby</x:v>
      </x:c>
      <x:c r="E6" s="18" t="n">
        <x:v>12</x:v>
      </x:c>
      <x:c r="F6" s="19" t="n">
        <x:v>6200</x:v>
      </x:c>
      <x:c r="G6" s="19" t="n">
        <x:f>E6*F6</x:f>
        <x:v>74400</x:v>
      </x:c>
    </x:row>
    <x:row r="7" ht="15" hidden="0" customHeight="1">
      <x:c r="A7" s="15" t="str">
        <x:v>CHR-DIN-014</x:v>
      </x:c>
      <x:c r="B7" s="15" t="str">
        <x:v>เก้าอี้รับประทานอาหาร</x:v>
      </x:c>
      <x:c r="C7" s="15" t="str">
        <x:v>STANDARD</x:v>
      </x:c>
      <x:c r="D7" s="15" t="str">
        <x:v>All-day Dining</x:v>
      </x:c>
      <x:c r="E7" s="18" t="n">
        <x:v>24</x:v>
      </x:c>
      <x:c r="F7" s="19" t="n">
        <x:v>7900</x:v>
      </x:c>
      <x:c r="G7" s="19" t="n">
        <x:f>E7*F7</x:f>
        <x:v>189600</x:v>
      </x:c>
    </x:row>
    <x:row r="8" ht="15" hidden="0" customHeight="1">
      <x:c r="A8" s="15" t="str">
        <x:v>LGT-PEN-009</x:v>
      </x:c>
      <x:c r="B8" s="15" t="str">
        <x:v>โคมไฟแขวน</x:v>
      </x:c>
      <x:c r="C8" s="15" t="str">
        <x:v>STANDARD</x:v>
      </x:c>
      <x:c r="D8" s="15" t="str">
        <x:v>All-day Dining</x:v>
      </x:c>
      <x:c r="E8" s="18" t="n">
        <x:v>10</x:v>
      </x:c>
      <x:c r="F8" s="19" t="n">
        <x:v>9800</x:v>
      </x:c>
      <x:c r="G8" s="19" t="n">
        <x:f>E8*F8</x:f>
        <x:v>98000</x:v>
      </x:c>
    </x:row>
    <x:row r="9" ht="15" hidden="0" customHeight="1">
      <x:c r="A9" s="15" t="str">
        <x:v>CUS-REC-001</x:v>
      </x:c>
      <x:c r="B9" s="15" t="str">
        <x:v>เคาน์เตอร์ต้อนรับสั่งผลิต</x:v>
      </x:c>
      <x:c r="C9" s="15" t="str">
        <x:v>CUSTOM</x:v>
      </x:c>
      <x:c r="D9" s="15" t="str">
        <x:v>Lobby</x:v>
      </x:c>
      <x:c r="E9" s="18" t="n">
        <x:v>1</x:v>
      </x:c>
      <x:c r="F9" s="19" t="n">
        <x:v>165000</x:v>
      </x:c>
      <x:c r="G9" s="19" t="n">
        <x:f>E9*F9</x:f>
        <x:v>165000</x:v>
      </x:c>
    </x:row>
    <x:row r="10" ht="15" hidden="0" customHeight="1">
      <x:c r="A10" s="15" t="str">
        <x:v>CUS-HDB-010</x:v>
      </x:c>
      <x:c r="B10" s="15" t="str">
        <x:v>หัวเตียงบุผ้าสั่งผลิต</x:v>
      </x:c>
      <x:c r="C10" s="15" t="str">
        <x:v>CUSTOM</x:v>
      </x:c>
      <x:c r="D10" s="15" t="str">
        <x:v>Guest Rooms</x:v>
      </x:c>
      <x:c r="E10" s="18" t="n">
        <x:v>10</x:v>
      </x:c>
      <x:c r="F10" s="19" t="n">
        <x:v>22500</x:v>
      </x:c>
      <x:c r="G10" s="19" t="n">
        <x:f>E10*F10</x:f>
        <x:v>225000</x:v>
      </x:c>
    </x:row>
    <x:row r="11"/>
    <x:row r="12" ht="15" hidden="0" customHeight="1">
      <x:c r="E12" s="20" t="str">
        <x:v>สรุป</x:v>
      </x:c>
      <x:c r="F12" s="20" t="str">
        <x:v>จำนวนเงิน (บาท)</x:v>
      </x:c>
      <x:c r="G12" s="20"/>
    </x:row>
    <x:row r="13" ht="15" hidden="0" customHeight="1">
      <x:c r="E13" s="21" t="str">
        <x:v>ฐานราคาก่อน VAT</x:v>
      </x:c>
      <x:c r="F13" s="21"/>
      <x:c r="G13" s="25" t="n">
        <x:f>SUM(G5:G10)</x:f>
        <x:v>900000</x:v>
      </x:c>
    </x:row>
    <x:row r="14" ht="15" hidden="0" customHeight="1">
      <x:c r="E14" s="21" t="str">
        <x:v>VAT 7%</x:v>
      </x:c>
      <x:c r="F14" s="21"/>
      <x:c r="G14" s="25" t="n">
        <x:f>ROUND(G13*7%,2)</x:f>
        <x:v>63000</x:v>
      </x:c>
    </x:row>
    <x:row r="15" ht="15" hidden="0" customHeight="1">
      <x:c r="E15" s="24" t="str">
        <x:v>ยอดรวมทั้งสิ้น</x:v>
      </x:c>
      <x:c r="F15" s="24"/>
      <x:c r="G15" s="26" t="n">
        <x:f>G13+G14</x:f>
        <x:v>963000</x:v>
      </x:c>
    </x:row>
    <x:row r="16"/>
    <x:row r="17">
      <x:c r="A17" s="41" t="str">
        <x:v>DEMO DATA · Standard ที่มี Active Member Price พร้อมสั่งได้โดยไม่ผ่าน RFQ · Custom ต้องอ้างอิง Quotation Version ที่ Accepted</x:v>
      </x:c>
      <x:c r="B17" s="42"/>
      <x:c r="C17" s="42"/>
      <x:c r="D17" s="42"/>
      <x:c r="E17" s="42"/>
      <x:c r="F17" s="42"/>
      <x:c r="G17" s="43"/>
    </x:row>
    <x:row r="18">
      <x:c r="A18" s="44"/>
      <x:c r="B18" s="45"/>
      <x:c r="C18" s="45"/>
      <x:c r="D18" s="45"/>
      <x:c r="E18" s="45"/>
      <x:c r="F18" s="45"/>
      <x:c r="G18" s="46"/>
    </x:row>
  </x:sheetData>
  <x:mergeCells>
    <x:mergeCell ref="A1:G1"/>
    <x:mergeCell ref="A2:G2"/>
    <x:mergeCell ref="A17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16" hidden="0" customWidth="1"/>
    <x:col min="4" max="4" width="16" hidden="0" customWidth="1"/>
  </x:cols>
  <x:sheetData>
    <x:row r="1" ht="19.200000762939453" hidden="0" customHeight="1">
      <x:c r="A1" s="2" t="str">
        <x:v>GISP · PROJECT SUMMARY · DEMO</x:v>
      </x:c>
      <x:c r="B1" s="2"/>
      <x:c r="C1" s="2"/>
      <x:c r="D1" s="2"/>
    </x:row>
    <x:row r="2"/>
    <x:row r="3" ht="15" hidden="0" customHeight="1">
      <x:c r="A3" s="8" t="str">
        <x:v>รายการ</x:v>
      </x:c>
      <x:c r="B3" s="8" t="str">
        <x:v>ค่าจาก Product Schedule</x:v>
      </x:c>
    </x:row>
    <x:row r="4" ht="15" hidden="0" customHeight="1">
      <x:c r="A4" s="47" t="str">
        <x:v>จำนวน SKU</x:v>
      </x:c>
      <x:c r="B4" s="47" t="n">
        <x:f>COUNTA('Product Schedule'!A5:A10)</x:f>
        <x:v>6</x:v>
      </x:c>
    </x:row>
    <x:row r="5" ht="15" hidden="0" customHeight="1">
      <x:c r="A5" s="47" t="str">
        <x:v>จำนวนสินค้ารวม</x:v>
      </x:c>
      <x:c r="B5" s="47" t="n">
        <x:f>SUM('Product Schedule'!E5:E10)</x:f>
        <x:v>65</x:v>
      </x:c>
    </x:row>
    <x:row r="6" ht="15" hidden="0" customHeight="1">
      <x:c r="A6" s="47" t="str">
        <x:v>ฐานราคาก่อน VAT</x:v>
      </x:c>
      <x:c r="B6" s="48" t="n">
        <x:f>'Product Schedule'!G13</x:f>
        <x:v>900000</x:v>
      </x:c>
    </x:row>
    <x:row r="7" ht="15" hidden="0" customHeight="1">
      <x:c r="A7" s="47" t="str">
        <x:v>VAT 7%</x:v>
      </x:c>
      <x:c r="B7" s="48" t="n">
        <x:f>'Product Schedule'!G14</x:f>
        <x:v>63000</x:v>
      </x:c>
    </x:row>
    <x:row r="8" ht="15" hidden="0" customHeight="1">
      <x:c r="A8" s="23" t="str">
        <x:v>ยอดรวมทั้งสิ้น</x:v>
      </x:c>
      <x:c r="B8" s="49" t="n">
        <x:f>'Product Schedule'!G15</x:f>
        <x:v>963000</x:v>
      </x:c>
    </x:row>
    <x:row r="9"/>
    <x:row r="10">
      <x:c r="A10" s="52" t="str">
        <x:v>ตัวเลขใน Summary เป็น Formula เชื่อมจาก Product Schedule จึงปรับตามจำนวนและราคาโดยอัตโนมัติ · เอกสารนี้เป็นข้อมูลจำลอง</x:v>
      </x:c>
      <x:c r="B10" s="52"/>
      <x:c r="C10" s="52"/>
      <x:c r="D10" s="52"/>
    </x:row>
    <x:row r="11">
      <x:c r="A11" s="52"/>
      <x:c r="B11" s="52"/>
      <x:c r="C11" s="52"/>
      <x:c r="D11" s="52"/>
    </x:row>
    <x:row r="12">
      <x:c r="A12" s="52"/>
      <x:c r="B12" s="52"/>
      <x:c r="C12" s="52"/>
      <x:c r="D12" s="52"/>
    </x:row>
  </x:sheetData>
  <x:mergeCells>
    <x:mergeCell ref="A1:D1"/>
    <x:mergeCell ref="A10:D12"/>
  </x:mergeCells>
  <x:pageMargins left="0.7" right="0.7" top="0.75" bottom="0.75" header="0.3" footer="0.3"/>
</x:worksheet>
</file>